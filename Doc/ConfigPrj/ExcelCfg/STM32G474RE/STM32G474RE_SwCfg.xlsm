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c\Doc\ConfigPrj\ExcelCfg\STM32G474RE\"/>
    </mc:Choice>
  </mc:AlternateContent>
  <xr:revisionPtr revIDLastSave="0" documentId="13_ncr:1_{ABF7D9BF-48C8-48AD-81BB-E63857EDDFBA}" xr6:coauthVersionLast="47" xr6:coauthVersionMax="47" xr10:uidLastSave="{00000000-0000-0000-0000-000000000000}"/>
  <bookViews>
    <workbookView xWindow="-108" yWindow="-108" windowWidth="23256" windowHeight="12456" activeTab="1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4" l="1"/>
  <c r="I33" i="4" s="1"/>
  <c r="I24" i="4"/>
  <c r="I25" i="4"/>
  <c r="I26" i="4"/>
  <c r="I27" i="4"/>
  <c r="I28" i="4" s="1"/>
  <c r="I29" i="4" s="1"/>
  <c r="I30" i="4" s="1"/>
  <c r="I31" i="4" s="1"/>
  <c r="I23" i="4"/>
</calcChain>
</file>

<file path=xl/sharedStrings.xml><?xml version="1.0" encoding="utf-8"?>
<sst xmlns="http://schemas.openxmlformats.org/spreadsheetml/2006/main" count="202" uniqueCount="122">
  <si>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</si>
  <si>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</si>
  <si>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</si>
  <si>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</si>
  <si>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</si>
  <si>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</si>
  <si>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</si>
  <si>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</si>
  <si>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</si>
  <si>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</si>
  <si>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</si>
  <si>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</si>
  <si>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</si>
  <si>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</si>
  <si>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</si>
  <si>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</si>
  <si>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</si>
  <si>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</si>
  <si>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</si>
  <si>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</si>
  <si>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</si>
  <si>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</si>
  <si>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</si>
  <si>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</si>
  <si>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</si>
  <si>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</si>
  <si>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</si>
  <si>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</si>
  <si>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</si>
  <si>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</si>
  <si>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</si>
  <si>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</si>
  <si>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</si>
  <si>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</si>
  <si>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</si>
  <si>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</si>
  <si>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</si>
  <si>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</si>
  <si>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</si>
  <si>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</si>
  <si>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</si>
  <si>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Limit Switch for motor X left, min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</si>
  <si>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</si>
  <si>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</si>
  <si>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</si>
  <si>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</si>
  <si>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</si>
  <si>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</si>
  <si>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</si>
  <si>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</si>
  <si>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</si>
  <si>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</si>
  <si>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</si>
  <si>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</si>
  <si>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</si>
  <si>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</si>
  <si>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</si>
  <si>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</si>
  <si>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</si>
  <si>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</si>
  <si>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</si>
  <si>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</si>
  <si>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</si>
  <si>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</si>
  <si>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</si>
  <si>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ActDependencie_1</t>
  </si>
  <si>
    <t>ActDependencie_2</t>
  </si>
  <si>
    <t xml:space="preserve">Set All Axe of the Gantry Off </t>
  </si>
  <si>
    <t>Srv 1</t>
  </si>
  <si>
    <t>Srv 2</t>
  </si>
  <si>
    <t>Srv 3</t>
  </si>
  <si>
    <t>Set Axe X of the Gantry 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</si>
  <si>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</si>
  <si>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</si>
  <si>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</si>
  <si>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</si>
  <si>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</si>
  <si>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</si>
  <si>
    <t>FMK_CFG_ERROR</t>
  </si>
  <si>
    <t>Enum Module from t_eAppSys_ModuleList</t>
  </si>
  <si>
    <t xml:space="preserve">Line module </t>
  </si>
  <si>
    <t>FMK_OPE_ERROR</t>
  </si>
  <si>
    <t>SUPPLY_VOLTAGE_ERROR</t>
  </si>
  <si>
    <t xml:space="preserve">Below / Under </t>
  </si>
  <si>
    <t>Exact Voltage (int)</t>
  </si>
  <si>
    <t>APPSYS_CYCLIC_TIMEOUT</t>
  </si>
  <si>
    <t>TimeOut difference in secondes</t>
  </si>
  <si>
    <t>APPUSER_BIT_ALIVE_TIMEOUT</t>
  </si>
  <si>
    <t>signal number that causes error</t>
  </si>
  <si>
    <t xml:space="preserve">which Axes causes the failed </t>
  </si>
  <si>
    <t>GANTRY_MVMT_ERROR</t>
  </si>
  <si>
    <t>GANTRY_SWITCH_LIMIT</t>
  </si>
  <si>
    <t>Enum Error from t_eFMKSRL_RxCallbackInfo</t>
  </si>
  <si>
    <t>APPUSER_COMMUNICATION_FAILED</t>
  </si>
  <si>
    <t>Rx/Tx (0,1)</t>
  </si>
  <si>
    <t>Lim_Swch_X_L_Min</t>
  </si>
  <si>
    <t>Lim_Swch_X_L_Max</t>
  </si>
  <si>
    <t>Lim_Swch_X_R_Min</t>
  </si>
  <si>
    <t>Lim_Swch_X_R_Max</t>
  </si>
  <si>
    <t>Lim_Swch_Y_Min</t>
  </si>
  <si>
    <t>Lim_Swch_Y_Max</t>
  </si>
  <si>
    <t>Lim_Swch_Z_Min</t>
  </si>
  <si>
    <t>Lim_Swch_Z_Max</t>
  </si>
  <si>
    <t>Gtry_X</t>
  </si>
  <si>
    <t>Gtry_Z</t>
  </si>
  <si>
    <t>Gtry_Y</t>
  </si>
  <si>
    <t>Mtr_X_R</t>
  </si>
  <si>
    <t>Mtr_X_L</t>
  </si>
  <si>
    <t>Mtr_Y</t>
  </si>
  <si>
    <t>Mtr_Z</t>
  </si>
  <si>
    <t>Left Motor Axe X on the left</t>
  </si>
  <si>
    <t>Left Motor Axe X on the right</t>
  </si>
  <si>
    <t>Left Motor Axe Z</t>
  </si>
  <si>
    <t>Left Motor Axe Y</t>
  </si>
  <si>
    <t>APPUSER_COM_CHECKSUM_FAILED</t>
  </si>
  <si>
    <t>Wich Id Cmd</t>
  </si>
  <si>
    <t>Checksum computed</t>
  </si>
  <si>
    <t>GTRY_AXE_Y_ERR</t>
  </si>
  <si>
    <t>GTRY_AXE_X_ERR</t>
  </si>
  <si>
    <t>GTRY_AXE_Z_ERR</t>
  </si>
  <si>
    <t>Motor Id</t>
  </si>
  <si>
    <t>event from t_eCL42T_DiagError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</si>
</sst>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1" totalsRowShown="0">
  <autoFilter ref="B3:E11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9" totalsRowShown="0">
  <autoFilter ref="B5:D9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33" totalsRowShown="0">
  <autoFilter ref="I21:Q33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9" totalsRowShown="0">
  <autoFilter ref="F16:H19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zoomScale="48" workbookViewId="0">
      <selection activeCell="I20" sqref="I20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4" spans="2:13" x14ac:dyDescent="0.3">
      <c r="B4" t="s">
        <v>95</v>
      </c>
      <c r="C4" t="s">
        <v>12</v>
      </c>
      <c r="D4" t="s">
        <v>24</v>
      </c>
      <c r="E4" t="s">
        <v>41</v>
      </c>
    </row>
    <row r="5" spans="2:13" x14ac:dyDescent="0.3">
      <c r="B5" t="s">
        <v>96</v>
      </c>
      <c r="C5" t="s">
        <v>12</v>
      </c>
      <c r="D5" t="s">
        <v>24</v>
      </c>
      <c r="E5" t="s">
        <v>42</v>
      </c>
    </row>
    <row r="6" spans="2:13" x14ac:dyDescent="0.3">
      <c r="B6" t="s">
        <v>97</v>
      </c>
      <c r="C6" t="s">
        <v>12</v>
      </c>
      <c r="D6" t="s">
        <v>24</v>
      </c>
      <c r="E6" t="s">
        <v>43</v>
      </c>
    </row>
    <row r="7" spans="2:13" x14ac:dyDescent="0.3">
      <c r="B7" t="s">
        <v>98</v>
      </c>
      <c r="C7" t="s">
        <v>12</v>
      </c>
      <c r="D7" t="s">
        <v>24</v>
      </c>
      <c r="E7" t="s">
        <v>44</v>
      </c>
    </row>
    <row r="8" spans="2:13" x14ac:dyDescent="0.3">
      <c r="B8" t="s">
        <v>99</v>
      </c>
      <c r="C8" t="s">
        <v>12</v>
      </c>
      <c r="D8" t="s">
        <v>24</v>
      </c>
      <c r="E8" t="s">
        <v>45</v>
      </c>
    </row>
    <row r="9" spans="2:13" x14ac:dyDescent="0.3">
      <c r="B9" t="s">
        <v>100</v>
      </c>
      <c r="C9" t="s">
        <v>12</v>
      </c>
      <c r="D9" t="s">
        <v>24</v>
      </c>
      <c r="E9" t="s">
        <v>46</v>
      </c>
    </row>
    <row r="10" spans="2:13" x14ac:dyDescent="0.3">
      <c r="B10" t="s">
        <v>101</v>
      </c>
      <c r="C10" t="s">
        <v>12</v>
      </c>
      <c r="D10" t="s">
        <v>24</v>
      </c>
      <c r="E10" t="s">
        <v>47</v>
      </c>
    </row>
    <row r="11" spans="2:13" x14ac:dyDescent="0.3">
      <c r="B11" t="s">
        <v>102</v>
      </c>
      <c r="C11" t="s">
        <v>12</v>
      </c>
      <c r="D11" t="s">
        <v>24</v>
      </c>
      <c r="E11" t="s">
        <v>48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:D11" xr:uid="{86A52F69-E6B0-40B6-81DA-7A19CEF27204}">
      <formula1>$L$26:$M$26</formula1>
    </dataValidation>
    <dataValidation type="list" allowBlank="1" showInputMessage="1" showErrorMessage="1" sqref="C4:C11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110" workbookViewId="0">
      <selection activeCell="F19" sqref="F19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10" x14ac:dyDescent="0.3">
      <c r="B6" t="s">
        <v>107</v>
      </c>
      <c r="C6" t="s">
        <v>24</v>
      </c>
      <c r="D6" t="s">
        <v>110</v>
      </c>
    </row>
    <row r="7" spans="2:10" x14ac:dyDescent="0.3">
      <c r="B7" t="s">
        <v>106</v>
      </c>
      <c r="C7" t="s">
        <v>24</v>
      </c>
      <c r="D7" t="s">
        <v>111</v>
      </c>
      <c r="G7" t="s">
        <v>29</v>
      </c>
      <c r="H7" t="s">
        <v>14</v>
      </c>
    </row>
    <row r="8" spans="2:10" x14ac:dyDescent="0.3">
      <c r="B8" t="s">
        <v>108</v>
      </c>
      <c r="C8" t="s">
        <v>24</v>
      </c>
      <c r="D8" t="s">
        <v>113</v>
      </c>
    </row>
    <row r="9" spans="2:10" x14ac:dyDescent="0.3">
      <c r="B9" t="s">
        <v>109</v>
      </c>
      <c r="C9" t="s">
        <v>24</v>
      </c>
      <c r="D9" t="s">
        <v>112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  <row r="14" spans="2:10" x14ac:dyDescent="0.3">
      <c r="F14" t="s">
        <v>49</v>
      </c>
      <c r="G14" t="s">
        <v>29</v>
      </c>
      <c r="H14" t="s">
        <v>29</v>
      </c>
      <c r="I14" t="s">
        <v>24</v>
      </c>
      <c r="J14" t="s">
        <v>50</v>
      </c>
    </row>
  </sheetData>
  <dataValidations count="2">
    <dataValidation type="list" allowBlank="1" showInputMessage="1" showErrorMessage="1" sqref="I14 C6:C9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33"/>
  <sheetViews>
    <sheetView topLeftCell="I20" zoomScale="116" workbookViewId="0">
      <selection activeCell="P24" sqref="P24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59</v>
      </c>
      <c r="J21" t="s">
        <v>51</v>
      </c>
      <c r="K21" t="s">
        <v>52</v>
      </c>
      <c r="L21" t="s">
        <v>53</v>
      </c>
      <c r="M21" t="s">
        <v>54</v>
      </c>
      <c r="N21" t="s">
        <v>55</v>
      </c>
      <c r="O21" t="s">
        <v>56</v>
      </c>
      <c r="P21" t="s">
        <v>57</v>
      </c>
      <c r="Q21" t="s">
        <v>58</v>
      </c>
    </row>
    <row r="22" spans="9:17" x14ac:dyDescent="0.3">
      <c r="I22">
        <v>0</v>
      </c>
      <c r="J22" t="s">
        <v>78</v>
      </c>
      <c r="K22">
        <v>0</v>
      </c>
      <c r="L22" t="s">
        <v>38</v>
      </c>
      <c r="M22" t="s">
        <v>39</v>
      </c>
      <c r="N22" t="s">
        <v>74</v>
      </c>
      <c r="O22" t="s">
        <v>79</v>
      </c>
      <c r="P22" t="s">
        <v>80</v>
      </c>
    </row>
    <row r="23" spans="9:17" x14ac:dyDescent="0.3">
      <c r="I23">
        <f>1+I22</f>
        <v>1</v>
      </c>
      <c r="J23" t="s">
        <v>81</v>
      </c>
      <c r="K23">
        <v>1000</v>
      </c>
      <c r="L23" t="s">
        <v>38</v>
      </c>
      <c r="M23" t="s">
        <v>39</v>
      </c>
      <c r="N23" t="s">
        <v>74</v>
      </c>
      <c r="O23" t="s">
        <v>79</v>
      </c>
      <c r="P23" t="s">
        <v>80</v>
      </c>
    </row>
    <row r="24" spans="9:17" x14ac:dyDescent="0.3">
      <c r="I24">
        <f t="shared" ref="I24:I30" si="0">1+I23</f>
        <v>2</v>
      </c>
      <c r="J24" t="s">
        <v>118</v>
      </c>
      <c r="K24">
        <v>0</v>
      </c>
      <c r="L24" t="s">
        <v>38</v>
      </c>
      <c r="M24" t="s">
        <v>39</v>
      </c>
      <c r="N24" t="s">
        <v>75</v>
      </c>
      <c r="O24" t="s">
        <v>120</v>
      </c>
      <c r="P24" t="s">
        <v>121</v>
      </c>
    </row>
    <row r="25" spans="9:17" x14ac:dyDescent="0.3">
      <c r="I25">
        <f t="shared" si="0"/>
        <v>3</v>
      </c>
      <c r="J25" t="s">
        <v>117</v>
      </c>
      <c r="K25">
        <v>0</v>
      </c>
      <c r="L25" t="s">
        <v>38</v>
      </c>
      <c r="M25" t="s">
        <v>39</v>
      </c>
      <c r="N25" t="s">
        <v>76</v>
      </c>
      <c r="O25" t="s">
        <v>120</v>
      </c>
      <c r="P25" t="s">
        <v>88</v>
      </c>
    </row>
    <row r="26" spans="9:17" x14ac:dyDescent="0.3">
      <c r="I26">
        <f t="shared" si="0"/>
        <v>4</v>
      </c>
      <c r="J26" t="s">
        <v>119</v>
      </c>
      <c r="K26">
        <v>1000</v>
      </c>
      <c r="L26" t="s">
        <v>38</v>
      </c>
      <c r="M26" t="s">
        <v>39</v>
      </c>
      <c r="N26" t="s">
        <v>77</v>
      </c>
      <c r="O26" t="s">
        <v>120</v>
      </c>
      <c r="P26" t="s">
        <v>88</v>
      </c>
    </row>
    <row r="27" spans="9:17" x14ac:dyDescent="0.3">
      <c r="I27">
        <f t="shared" si="0"/>
        <v>5</v>
      </c>
      <c r="J27" t="s">
        <v>82</v>
      </c>
      <c r="K27">
        <v>500</v>
      </c>
      <c r="L27" t="s">
        <v>38</v>
      </c>
      <c r="M27" t="s">
        <v>39</v>
      </c>
      <c r="N27" t="s">
        <v>74</v>
      </c>
      <c r="O27" t="s">
        <v>83</v>
      </c>
      <c r="P27" t="s">
        <v>84</v>
      </c>
    </row>
    <row r="28" spans="9:17" x14ac:dyDescent="0.3">
      <c r="I28">
        <f t="shared" si="0"/>
        <v>6</v>
      </c>
      <c r="J28" t="s">
        <v>85</v>
      </c>
      <c r="K28">
        <v>1500</v>
      </c>
      <c r="L28" t="s">
        <v>38</v>
      </c>
      <c r="M28" t="s">
        <v>39</v>
      </c>
      <c r="N28" t="s">
        <v>74</v>
      </c>
      <c r="O28" t="s">
        <v>86</v>
      </c>
    </row>
    <row r="29" spans="9:17" x14ac:dyDescent="0.3">
      <c r="I29">
        <f t="shared" si="0"/>
        <v>7</v>
      </c>
      <c r="J29" t="s">
        <v>87</v>
      </c>
      <c r="K29">
        <v>250</v>
      </c>
      <c r="L29" t="s">
        <v>38</v>
      </c>
      <c r="M29" t="s">
        <v>39</v>
      </c>
      <c r="N29" t="s">
        <v>74</v>
      </c>
      <c r="O29" t="s">
        <v>86</v>
      </c>
    </row>
    <row r="30" spans="9:17" x14ac:dyDescent="0.3">
      <c r="I30">
        <f t="shared" si="0"/>
        <v>8</v>
      </c>
      <c r="J30" t="s">
        <v>93</v>
      </c>
      <c r="K30">
        <v>250</v>
      </c>
      <c r="L30" t="s">
        <v>38</v>
      </c>
      <c r="M30" t="s">
        <v>39</v>
      </c>
      <c r="O30" t="s">
        <v>94</v>
      </c>
      <c r="P30" t="s">
        <v>92</v>
      </c>
    </row>
    <row r="31" spans="9:17" x14ac:dyDescent="0.3">
      <c r="I31">
        <f>1+I30</f>
        <v>9</v>
      </c>
      <c r="J31" t="s">
        <v>114</v>
      </c>
      <c r="K31">
        <v>0</v>
      </c>
      <c r="L31" t="s">
        <v>38</v>
      </c>
      <c r="M31" t="s">
        <v>39</v>
      </c>
      <c r="O31" t="s">
        <v>115</v>
      </c>
      <c r="P31" t="s">
        <v>116</v>
      </c>
    </row>
    <row r="32" spans="9:17" x14ac:dyDescent="0.3">
      <c r="I32">
        <f t="shared" ref="I32:I33" si="1">1+I31</f>
        <v>10</v>
      </c>
      <c r="J32" t="s">
        <v>90</v>
      </c>
      <c r="K32">
        <v>0</v>
      </c>
      <c r="L32" t="s">
        <v>38</v>
      </c>
      <c r="M32" t="s">
        <v>39</v>
      </c>
      <c r="N32" t="s">
        <v>74</v>
      </c>
      <c r="O32" t="s">
        <v>89</v>
      </c>
    </row>
    <row r="33" spans="9:15" x14ac:dyDescent="0.3">
      <c r="I33">
        <f t="shared" si="1"/>
        <v>11</v>
      </c>
      <c r="J33" t="s">
        <v>91</v>
      </c>
      <c r="K33">
        <v>0</v>
      </c>
      <c r="L33" t="s">
        <v>38</v>
      </c>
      <c r="M33" t="s">
        <v>39</v>
      </c>
      <c r="N33" t="s">
        <v>74</v>
      </c>
      <c r="O33" t="s">
        <v>89</v>
      </c>
    </row>
  </sheetData>
  <dataValidations count="1">
    <dataValidation type="list" allowBlank="1" showInputMessage="1" showErrorMessage="1" sqref="L22:M33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opLeftCell="B2" workbookViewId="0">
      <selection activeCell="G8" sqref="G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61</v>
      </c>
      <c r="D7" t="s">
        <v>60</v>
      </c>
      <c r="E7" t="s">
        <v>68</v>
      </c>
      <c r="F7" t="s">
        <v>69</v>
      </c>
      <c r="G7" t="s">
        <v>70</v>
      </c>
    </row>
    <row r="8" spans="3:7" x14ac:dyDescent="0.3">
      <c r="C8" t="s">
        <v>74</v>
      </c>
      <c r="D8" t="s">
        <v>67</v>
      </c>
      <c r="E8" t="s">
        <v>103</v>
      </c>
      <c r="F8" t="s">
        <v>105</v>
      </c>
      <c r="G8" t="s">
        <v>104</v>
      </c>
    </row>
    <row r="9" spans="3:7" x14ac:dyDescent="0.3">
      <c r="C9" t="s">
        <v>75</v>
      </c>
      <c r="D9" t="s">
        <v>71</v>
      </c>
      <c r="E9" t="s">
        <v>103</v>
      </c>
    </row>
    <row r="10" spans="3:7" x14ac:dyDescent="0.3">
      <c r="C10" t="s">
        <v>76</v>
      </c>
      <c r="D10" t="s">
        <v>73</v>
      </c>
      <c r="E10" t="s">
        <v>105</v>
      </c>
    </row>
    <row r="11" spans="3:7" x14ac:dyDescent="0.3">
      <c r="C11" t="s">
        <v>77</v>
      </c>
      <c r="D11" t="s">
        <v>72</v>
      </c>
      <c r="E11" t="s">
        <v>104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9"/>
  <sheetViews>
    <sheetView topLeftCell="C5" zoomScale="105" workbookViewId="0">
      <selection activeCell="J13" sqref="J13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62</v>
      </c>
      <c r="D5" t="s">
        <v>11</v>
      </c>
    </row>
    <row r="6" spans="3:8" x14ac:dyDescent="0.3">
      <c r="C6" t="s">
        <v>63</v>
      </c>
    </row>
    <row r="16" spans="3:8" x14ac:dyDescent="0.3">
      <c r="F16" t="s">
        <v>64</v>
      </c>
      <c r="G16" t="s">
        <v>65</v>
      </c>
      <c r="H16" t="s">
        <v>66</v>
      </c>
    </row>
    <row r="17" spans="6:8" x14ac:dyDescent="0.3">
      <c r="F17" t="s">
        <v>103</v>
      </c>
      <c r="G17" t="s">
        <v>107</v>
      </c>
      <c r="H17" t="s">
        <v>106</v>
      </c>
    </row>
    <row r="18" spans="6:8" x14ac:dyDescent="0.3">
      <c r="F18" t="s">
        <v>105</v>
      </c>
      <c r="G18" t="s">
        <v>108</v>
      </c>
    </row>
    <row r="19" spans="6:8" x14ac:dyDescent="0.3">
      <c r="F19" t="s">
        <v>104</v>
      </c>
      <c r="G19" t="s">
        <v>109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Actuators_Drivers!$B$6:$B$9</xm:f>
          </x14:formula1>
          <xm:sqref>G17:H19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2025-02-16T19:17:48Z</dcterms:modified>
</cp:coreProperties>
</file>